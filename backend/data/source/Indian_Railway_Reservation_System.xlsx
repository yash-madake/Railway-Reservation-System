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NR_Master" sheetId="2" state="visible" r:id="rId2"/>
    <sheet xmlns:r="http://schemas.openxmlformats.org/officeDocument/2006/relationships" name="Trains" sheetId="3" state="visible" r:id="rId3"/>
    <sheet xmlns:r="http://schemas.openxmlformats.org/officeDocument/2006/relationships" name="Stations" sheetId="4" state="visible" r:id="rId4"/>
    <sheet xmlns:r="http://schemas.openxmlformats.org/officeDocument/2006/relationships" name="Fare_Matrix" sheetId="5" state="visible" r:id="rId5"/>
    <sheet xmlns:r="http://schemas.openxmlformats.org/officeDocument/2006/relationships" name="Lookup_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YYYY-MM-DD"/>
    <numFmt numFmtId="166" formatCode="yyyy-mm-dd"/>
    <numFmt numFmtId="167" formatCode="HH:MM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555555"/>
      <sz val="10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B365D"/>
      <sz val="11"/>
    </font>
  </fonts>
  <fills count="7">
    <fill>
      <patternFill/>
    </fill>
    <fill>
      <patternFill patternType="gray125"/>
    </fill>
    <fill>
      <patternFill patternType="solid">
        <fgColor rgb="00E8ECEF"/>
        <bgColor rgb="00E8ECEF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D9D9D9"/>
      </left>
      <top style="thin">
        <color rgb="00D9D9D9"/>
      </top>
    </border>
    <border>
      <left style="thin">
        <color rgb="00D9D9D9"/>
      </left>
      <bottom style="thin">
        <color rgb="00D9D9D9"/>
      </bottom>
    </border>
    <border>
      <right style="thin">
        <color rgb="00D9D9D9"/>
      </right>
      <top style="thin">
        <color rgb="00D9D9D9"/>
      </top>
    </border>
    <border>
      <right style="thin">
        <color rgb="00D9D9D9"/>
      </right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1" fontId="1" fillId="2" borderId="2" applyAlignment="1" pivotButton="0" quotePrefix="0" xfId="0">
      <alignment horizontal="center" vertical="center"/>
    </xf>
    <xf numFmtId="0" fontId="0" fillId="0" borderId="4" pivotButton="0" quotePrefix="0" xfId="0"/>
    <xf numFmtId="164" fontId="1" fillId="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right" vertical="center"/>
    </xf>
    <xf numFmtId="164" fontId="6" fillId="4" borderId="5" applyAlignment="1" pivotButton="0" quotePrefix="0" xfId="0">
      <alignment horizontal="right" vertical="center"/>
    </xf>
    <xf numFmtId="164" fontId="6" fillId="4" borderId="5" applyAlignment="1" pivotButton="0" quotePrefix="0" xfId="0">
      <alignment horizontal="left" vertical="center"/>
    </xf>
    <xf numFmtId="0" fontId="6" fillId="5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left" vertical="center"/>
    </xf>
    <xf numFmtId="0" fontId="6" fillId="5" borderId="5" applyAlignment="1" pivotButton="0" quotePrefix="0" xfId="0">
      <alignment horizontal="right" vertical="center"/>
    </xf>
    <xf numFmtId="164" fontId="6" fillId="5" borderId="5" applyAlignment="1" pivotButton="0" quotePrefix="0" xfId="0">
      <alignment horizontal="right" vertical="center"/>
    </xf>
    <xf numFmtId="164" fontId="6" fillId="5" borderId="5" applyAlignment="1" pivotButton="0" quotePrefix="0" xfId="0">
      <alignment horizontal="left" vertical="center"/>
    </xf>
    <xf numFmtId="0" fontId="7" fillId="0" borderId="6" pivotButton="0" quotePrefix="0" xfId="0"/>
    <xf numFmtId="0" fontId="0" fillId="0" borderId="6" pivotButton="0" quotePrefix="0" xfId="0"/>
    <xf numFmtId="164" fontId="7" fillId="0" borderId="6" pivotButton="0" quotePrefix="0" xfId="0"/>
    <xf numFmtId="0" fontId="7" fillId="0" borderId="0" pivotButton="0" quotePrefix="0" xfId="0"/>
    <xf numFmtId="0" fontId="8" fillId="6" borderId="5" applyAlignment="1" pivotButton="0" quotePrefix="0" xfId="0">
      <alignment horizontal="center"/>
    </xf>
    <xf numFmtId="0" fontId="6" fillId="0" borderId="5" pivotButton="0" quotePrefix="0" xfId="0"/>
    <xf numFmtId="165" fontId="6" fillId="0" borderId="5" pivotButton="0" quotePrefix="0" xfId="0"/>
    <xf numFmtId="164" fontId="6" fillId="0" borderId="5" pivotButton="0" quotePrefix="0" xfId="0"/>
    <xf numFmtId="165" fontId="6" fillId="4" borderId="5" applyAlignment="1" pivotButton="0" quotePrefix="0" xfId="0">
      <alignment horizontal="center" vertical="center"/>
    </xf>
    <xf numFmtId="165" fontId="6" fillId="5" borderId="5" applyAlignment="1" pivotButton="0" quotePrefix="0" xfId="0">
      <alignment horizontal="center" vertical="center"/>
    </xf>
    <xf numFmtId="167" fontId="6" fillId="4" borderId="5" applyAlignment="1" pivotButton="0" quotePrefix="0" xfId="0">
      <alignment horizontal="center" vertical="center"/>
    </xf>
    <xf numFmtId="3" fontId="6" fillId="4" borderId="5" applyAlignment="1" pivotButton="0" quotePrefix="0" xfId="0">
      <alignment horizontal="right" vertical="center"/>
    </xf>
    <xf numFmtId="167" fontId="6" fillId="5" borderId="5" applyAlignment="1" pivotButton="0" quotePrefix="0" xfId="0">
      <alignment horizontal="center" vertical="center"/>
    </xf>
    <xf numFmtId="3" fontId="6" fillId="5" borderId="5" applyAlignment="1" pivotButton="0" quotePrefix="0" xfId="0">
      <alignment horizontal="right" vertical="center"/>
    </xf>
    <xf numFmtId="9" fontId="6" fillId="4" borderId="5" applyAlignment="1" pivotButton="0" quotePrefix="0" xfId="0">
      <alignment horizontal="right" vertical="center"/>
    </xf>
    <xf numFmtId="9" fontId="6" fillId="5" borderId="5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name val="Calibri"/>
        <b val="1"/>
        <color rgb="00155724"/>
        <sz val="11"/>
      </font>
      <fill>
        <patternFill patternType="solid">
          <fgColor rgb="00D4EDDA"/>
          <bgColor rgb="00D4EDDA"/>
        </patternFill>
      </fill>
    </dxf>
    <dxf>
      <font>
        <name val="Calibri"/>
        <b val="1"/>
        <color rgb="00856404"/>
        <sz val="11"/>
      </font>
      <fill>
        <patternFill patternType="solid">
          <fgColor rgb="00FFF3CD"/>
          <bgColor rgb="00FFF3CD"/>
        </patternFill>
      </fill>
    </dxf>
    <dxf>
      <font>
        <name val="Calibri"/>
        <b val="1"/>
        <color rgb="00721C24"/>
        <sz val="11"/>
      </font>
      <fill>
        <patternFill patternType="solid">
          <fgColor rgb="00F8D7DA"/>
          <bgColor rgb="00F8D7DA"/>
        </patternFill>
      </fill>
    </dxf>
    <dxf>
      <font>
        <name val="Calibri"/>
        <b val="1"/>
        <color rgb="00383D41"/>
        <sz val="11"/>
      </font>
      <fill>
        <patternFill patternType="solid">
          <fgColor rgb="00E2E3E5"/>
          <b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54" customWidth="1" min="2" max="2"/>
    <col width="37" customWidth="1" min="3" max="3"/>
    <col width="57" customWidth="1" min="4" max="4"/>
    <col width="12" customWidth="1" min="5" max="5"/>
    <col width="30" customWidth="1" min="6" max="6"/>
    <col width="37" customWidth="1" min="7" max="7"/>
    <col width="37" customWidth="1" min="8" max="8"/>
    <col width="57" customWidth="1" min="9" max="9"/>
    <col width="36" customWidth="1" min="10" max="10"/>
    <col width="12" customWidth="1" min="11" max="11"/>
  </cols>
  <sheetData>
    <row r="1">
      <c r="A1" s="1" t="inlineStr">
        <is>
          <t>INDIAN RAILWAYS RESERVATION SYSTEM</t>
        </is>
      </c>
    </row>
    <row r="2">
      <c r="A2" s="2" t="inlineStr">
        <is>
          <t>Executive Operations &amp; Revenue Dashboard | Live Status Tracking</t>
        </is>
      </c>
    </row>
    <row r="3"/>
    <row r="4">
      <c r="A4" s="3" t="inlineStr">
        <is>
          <t>Total Bookings</t>
        </is>
      </c>
      <c r="B4" s="4" t="n"/>
      <c r="D4" s="3" t="inlineStr">
        <is>
          <t>Total Revenue (₹)</t>
        </is>
      </c>
      <c r="E4" s="4" t="n"/>
      <c r="G4" s="3" t="inlineStr">
        <is>
          <t>Confirmed Tickets</t>
        </is>
      </c>
      <c r="H4" s="4" t="n"/>
      <c r="J4" s="3" t="inlineStr">
        <is>
          <t>Waitlisted Tickets</t>
        </is>
      </c>
      <c r="K4" s="4" t="n"/>
    </row>
    <row r="5">
      <c r="A5" s="5">
        <f>COUNTA(PNR_Master!A6:A25)</f>
        <v/>
      </c>
      <c r="B5" s="6" t="n"/>
      <c r="D5" s="7">
        <f>SUM(PNR_Master!J6:J25)</f>
        <v/>
      </c>
      <c r="E5" s="6" t="n"/>
      <c r="G5" s="5">
        <f>COUNTIF(PNR_Master!K6:K25,"CNF")</f>
        <v/>
      </c>
      <c r="H5" s="6" t="n"/>
      <c r="J5" s="5">
        <f>COUNTIF(PNR_Master!K6:K25,"WL")</f>
        <v/>
      </c>
      <c r="K5" s="6" t="n"/>
    </row>
    <row r="6"/>
    <row r="7"/>
    <row r="8">
      <c r="A8" s="8" t="inlineStr">
        <is>
          <t>Booking Summary by Quota</t>
        </is>
      </c>
      <c r="F8" s="8" t="inlineStr">
        <is>
          <t>Revenue Breakdown by Class</t>
        </is>
      </c>
    </row>
    <row r="9">
      <c r="A9" s="9" t="inlineStr">
        <is>
          <t>Quota Code</t>
        </is>
      </c>
      <c r="B9" s="9" t="inlineStr">
        <is>
          <t>Quota Name</t>
        </is>
      </c>
      <c r="C9" s="9" t="inlineStr">
        <is>
          <t>Total Passengers</t>
        </is>
      </c>
      <c r="D9" s="9" t="inlineStr">
        <is>
          <t>Total Revenue (₹)</t>
        </is>
      </c>
      <c r="E9" s="9" t="n"/>
      <c r="F9" s="9" t="inlineStr">
        <is>
          <t>Class Code</t>
        </is>
      </c>
      <c r="G9" s="9" t="inlineStr">
        <is>
          <t>Class Description</t>
        </is>
      </c>
      <c r="H9" s="9" t="inlineStr">
        <is>
          <t>Bookings</t>
        </is>
      </c>
      <c r="I9" s="9" t="inlineStr">
        <is>
          <t>Revenue (₹)</t>
        </is>
      </c>
    </row>
    <row r="10">
      <c r="A10" s="10" t="inlineStr">
        <is>
          <t>GN</t>
        </is>
      </c>
      <c r="B10" s="11" t="inlineStr">
        <is>
          <t>General Quota</t>
        </is>
      </c>
      <c r="C10" s="12">
        <f>COUNTIF(PNR_Master!I6:I25, "GN")</f>
        <v/>
      </c>
      <c r="D10" s="13">
        <f>SUMIF(PNR_Master!I6:I25, "GN", PNR_Master!J6:J25)</f>
        <v/>
      </c>
      <c r="E10" s="11" t="n"/>
      <c r="F10" s="11" t="inlineStr">
        <is>
          <t>1A</t>
        </is>
      </c>
      <c r="G10" s="11" t="inlineStr">
        <is>
          <t>AC First Class</t>
        </is>
      </c>
      <c r="H10" s="11">
        <f>COUNTIF(PNR_Master!H6:H25, "1A")</f>
        <v/>
      </c>
      <c r="I10" s="14">
        <f>SUMIF(PNR_Master!H6:H25, "1A", PNR_Master!J6:J25)</f>
        <v/>
      </c>
    </row>
    <row r="11">
      <c r="A11" s="15" t="inlineStr">
        <is>
          <t>TQ</t>
        </is>
      </c>
      <c r="B11" s="16" t="inlineStr">
        <is>
          <t>Tatkal Quota</t>
        </is>
      </c>
      <c r="C11" s="17">
        <f>COUNTIF(PNR_Master!I6:I25, "TQ")</f>
        <v/>
      </c>
      <c r="D11" s="18">
        <f>SUMIF(PNR_Master!I6:I25, "TQ", PNR_Master!J6:J25)</f>
        <v/>
      </c>
      <c r="E11" s="16" t="n"/>
      <c r="F11" s="16" t="inlineStr">
        <is>
          <t>2A</t>
        </is>
      </c>
      <c r="G11" s="16" t="inlineStr">
        <is>
          <t>AC 2-Tier</t>
        </is>
      </c>
      <c r="H11" s="16">
        <f>COUNTIF(PNR_Master!H6:H25, "2A")</f>
        <v/>
      </c>
      <c r="I11" s="19">
        <f>SUMIF(PNR_Master!H6:H25, "2A", PNR_Master!J6:J25)</f>
        <v/>
      </c>
    </row>
    <row r="12">
      <c r="A12" s="10" t="inlineStr">
        <is>
          <t>PT</t>
        </is>
      </c>
      <c r="B12" s="11" t="inlineStr">
        <is>
          <t>Premium Tatkal</t>
        </is>
      </c>
      <c r="C12" s="12">
        <f>COUNTIF(PNR_Master!I6:I25, "PT")</f>
        <v/>
      </c>
      <c r="D12" s="13">
        <f>SUMIF(PNR_Master!I6:I25, "PT", PNR_Master!J6:J25)</f>
        <v/>
      </c>
      <c r="E12" s="11" t="n"/>
      <c r="F12" s="11" t="inlineStr">
        <is>
          <t>3A</t>
        </is>
      </c>
      <c r="G12" s="11" t="inlineStr">
        <is>
          <t>AC 3-Tier</t>
        </is>
      </c>
      <c r="H12" s="11">
        <f>COUNTIF(PNR_Master!H6:H25, "3A")</f>
        <v/>
      </c>
      <c r="I12" s="14">
        <f>SUMIF(PNR_Master!H6:H25, "3A", PNR_Master!J6:J25)</f>
        <v/>
      </c>
    </row>
    <row r="13">
      <c r="A13" s="15" t="inlineStr">
        <is>
          <t>LD</t>
        </is>
      </c>
      <c r="B13" s="16" t="inlineStr">
        <is>
          <t>Ladies Quota</t>
        </is>
      </c>
      <c r="C13" s="17">
        <f>COUNTIF(PNR_Master!I6:I25, "LD")</f>
        <v/>
      </c>
      <c r="D13" s="18">
        <f>SUMIF(PNR_Master!I6:I25, "LD", PNR_Master!J6:J25)</f>
        <v/>
      </c>
      <c r="E13" s="16" t="n"/>
      <c r="F13" s="16" t="inlineStr">
        <is>
          <t>SL</t>
        </is>
      </c>
      <c r="G13" s="16" t="inlineStr">
        <is>
          <t>Sleeper Class</t>
        </is>
      </c>
      <c r="H13" s="16">
        <f>COUNTIF(PNR_Master!H6:H25, "SL")</f>
        <v/>
      </c>
      <c r="I13" s="19">
        <f>SUMIF(PNR_Master!H6:H25, "SL", PNR_Master!J6:J25)</f>
        <v/>
      </c>
    </row>
    <row r="14">
      <c r="A14" s="10" t="inlineStr">
        <is>
          <t>SS</t>
        </is>
      </c>
      <c r="B14" s="11" t="inlineStr">
        <is>
          <t>Senior Citizen</t>
        </is>
      </c>
      <c r="C14" s="12">
        <f>COUNTIF(PNR_Master!I6:I25, "SS")</f>
        <v/>
      </c>
      <c r="D14" s="13">
        <f>SUMIF(PNR_Master!I6:I25, "SS", PNR_Master!J6:J25)</f>
        <v/>
      </c>
      <c r="E14" s="11" t="n"/>
      <c r="F14" s="11" t="inlineStr">
        <is>
          <t>CC</t>
        </is>
      </c>
      <c r="G14" s="11" t="inlineStr">
        <is>
          <t>AC Chair Car</t>
        </is>
      </c>
      <c r="H14" s="11">
        <f>COUNTIF(PNR_Master!H6:H25, "CC")</f>
        <v/>
      </c>
      <c r="I14" s="14">
        <f>SUMIF(PNR_Master!H6:H25, "CC", PNR_Master!J6:J25)</f>
        <v/>
      </c>
    </row>
    <row r="15">
      <c r="A15" s="20" t="inlineStr">
        <is>
          <t>Total</t>
        </is>
      </c>
      <c r="B15" s="21" t="n"/>
      <c r="C15" s="20">
        <f>SUM(C10:C14)</f>
        <v/>
      </c>
      <c r="D15" s="22">
        <f>SUM(D10:D14)</f>
        <v/>
      </c>
      <c r="F15" s="20" t="inlineStr">
        <is>
          <t>Total</t>
        </is>
      </c>
      <c r="G15" s="21" t="n"/>
      <c r="H15" s="20">
        <f>SUM(H10:H14)</f>
        <v/>
      </c>
      <c r="I15" s="22">
        <f>SUM(I10:I14)</f>
        <v/>
      </c>
    </row>
    <row r="16"/>
    <row r="17"/>
    <row r="18">
      <c r="A18" s="8" t="inlineStr">
        <is>
          <t>Quick PNR Status Lookup Engine</t>
        </is>
      </c>
    </row>
    <row r="19"/>
    <row r="20">
      <c r="A20" s="23" t="inlineStr">
        <is>
          <t>Enter PNR Number:</t>
        </is>
      </c>
      <c r="B20" s="24" t="inlineStr">
        <is>
          <t>2847593012</t>
        </is>
      </c>
    </row>
    <row r="21">
      <c r="A21" s="23" t="inlineStr">
        <is>
          <t>Passenger Name</t>
        </is>
      </c>
      <c r="B21" s="25">
        <f>IFERROR(VLOOKUP(B20, PNR_Master!A6:K25, 4, FALSE), "Not Found")</f>
        <v/>
      </c>
    </row>
    <row r="22">
      <c r="A22" s="23" t="inlineStr">
        <is>
          <t>Train Number &amp; Name</t>
        </is>
      </c>
      <c r="B22" s="25">
        <f>IFERROR(VLOOKUP(B20, PNR_Master!A6:K25, 2, FALSE) &amp; " - " &amp; VLOOKUP(VLOOKUP(B20, PNR_Master!A6:K25, 2, FALSE), Trains!A6:B15, 2, FALSE), "Not Found")</f>
        <v/>
      </c>
    </row>
    <row r="23">
      <c r="A23" s="23" t="inlineStr">
        <is>
          <t>Journey Date</t>
        </is>
      </c>
      <c r="B23" s="26">
        <f>IFERROR(VLOOKUP(B20, PNR_Master!A6:K25, 3, FALSE), "Not Found")</f>
        <v/>
      </c>
    </row>
    <row r="24">
      <c r="A24" s="23" t="inlineStr">
        <is>
          <t>Class &amp; Quota</t>
        </is>
      </c>
      <c r="B24" s="25">
        <f>IFERROR(VLOOKUP(B20, PNR_Master!A6:K25, 8, FALSE) &amp; " (" &amp; VLOOKUP(B20, PNR_Master!A6:K25, 9, FALSE) &amp; ")", "Not Found")</f>
        <v/>
      </c>
    </row>
    <row r="25">
      <c r="A25" s="23" t="inlineStr">
        <is>
          <t>Current Status</t>
        </is>
      </c>
      <c r="B25" s="25">
        <f>IFERROR(VLOOKUP(B20, PNR_Master!A6:K25, 11, FALSE), "Not Found")</f>
        <v/>
      </c>
    </row>
    <row r="26">
      <c r="A26" s="23" t="inlineStr">
        <is>
          <t>Fare Paid</t>
        </is>
      </c>
      <c r="B26" s="27">
        <f>IFERROR(VLOOKUP(B20, PNR_Master!A6:K25, 10, FALSE), "Not Found")</f>
        <v/>
      </c>
    </row>
  </sheetData>
  <mergeCells count="8">
    <mergeCell ref="A4:B4"/>
    <mergeCell ref="G4:H4"/>
    <mergeCell ref="J4:K4"/>
    <mergeCell ref="J5:K5"/>
    <mergeCell ref="D5:E5"/>
    <mergeCell ref="A5:B5"/>
    <mergeCell ref="G5:H5"/>
    <mergeCell ref="D4:E4"/>
  </mergeCells>
  <dataValidations count="1">
    <dataValidation sqref="B20" showDropDown="0" showInputMessage="0" showErrorMessage="0" allowBlank="1" type="list">
      <formula1>PNR_Master!$A$6:$A$25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12" customWidth="1" min="5" max="5"/>
    <col width="12" customWidth="1" min="6" max="6"/>
    <col width="20" customWidth="1" min="7" max="7"/>
    <col width="14" customWidth="1" min="8" max="8"/>
    <col width="14" customWidth="1" min="9" max="9"/>
    <col width="18" customWidth="1" min="10" max="10"/>
    <col width="18" customWidth="1" min="11" max="11"/>
  </cols>
  <sheetData>
    <row r="1">
      <c r="A1" s="1" t="inlineStr">
        <is>
          <t>PASSENGER RESERVATION RECORD (PNR MASTER)</t>
        </is>
      </c>
    </row>
    <row r="2">
      <c r="A2" s="2" t="inlineStr">
        <is>
          <t>Master transactional database of all issued tickets</t>
        </is>
      </c>
    </row>
    <row r="3"/>
    <row r="4"/>
    <row r="5">
      <c r="A5" s="9" t="inlineStr">
        <is>
          <t>PNR Number</t>
        </is>
      </c>
      <c r="B5" s="9" t="inlineStr">
        <is>
          <t>Train No</t>
        </is>
      </c>
      <c r="C5" s="9" t="inlineStr">
        <is>
          <t>Journey Date</t>
        </is>
      </c>
      <c r="D5" s="9" t="inlineStr">
        <is>
          <t>Passenger Name</t>
        </is>
      </c>
      <c r="E5" s="9" t="inlineStr">
        <is>
          <t>Age</t>
        </is>
      </c>
      <c r="F5" s="9" t="inlineStr">
        <is>
          <t>Gender</t>
        </is>
      </c>
      <c r="G5" s="9" t="inlineStr">
        <is>
          <t>Berth Preference</t>
        </is>
      </c>
      <c r="H5" s="9" t="inlineStr">
        <is>
          <t>Class Code</t>
        </is>
      </c>
      <c r="I5" s="9" t="inlineStr">
        <is>
          <t>Quota Code</t>
        </is>
      </c>
      <c r="J5" s="9" t="inlineStr">
        <is>
          <t>Total Fare (₹)</t>
        </is>
      </c>
      <c r="K5" s="9" t="inlineStr">
        <is>
          <t>Current Status</t>
        </is>
      </c>
    </row>
    <row r="6">
      <c r="A6" s="10" t="inlineStr">
        <is>
          <t>2847593012</t>
        </is>
      </c>
      <c r="B6" s="10" t="n">
        <v>12951</v>
      </c>
      <c r="C6" s="28" t="n">
        <v>46310</v>
      </c>
      <c r="D6" s="11" t="inlineStr">
        <is>
          <t>Rajesh Sharma</t>
        </is>
      </c>
      <c r="E6" s="12" t="n">
        <v>42</v>
      </c>
      <c r="F6" s="10" t="inlineStr">
        <is>
          <t>M</t>
        </is>
      </c>
      <c r="G6" s="10" t="inlineStr">
        <is>
          <t>LB</t>
        </is>
      </c>
      <c r="H6" s="10" t="inlineStr">
        <is>
          <t>1A</t>
        </is>
      </c>
      <c r="I6" s="10" t="inlineStr">
        <is>
          <t>GN</t>
        </is>
      </c>
      <c r="J6" s="13" t="n">
        <v>4250</v>
      </c>
      <c r="K6" s="10" t="inlineStr">
        <is>
          <t>CNF</t>
        </is>
      </c>
    </row>
    <row r="7">
      <c r="A7" s="15" t="inlineStr">
        <is>
          <t>2847593013</t>
        </is>
      </c>
      <c r="B7" s="15" t="n">
        <v>12951</v>
      </c>
      <c r="C7" s="29" t="n">
        <v>46310</v>
      </c>
      <c r="D7" s="16" t="inlineStr">
        <is>
          <t>Priya Sharma</t>
        </is>
      </c>
      <c r="E7" s="17" t="n">
        <v>38</v>
      </c>
      <c r="F7" s="15" t="inlineStr">
        <is>
          <t>F</t>
        </is>
      </c>
      <c r="G7" s="15" t="inlineStr">
        <is>
          <t>UB</t>
        </is>
      </c>
      <c r="H7" s="15" t="inlineStr">
        <is>
          <t>1A</t>
        </is>
      </c>
      <c r="I7" s="15" t="inlineStr">
        <is>
          <t>GN</t>
        </is>
      </c>
      <c r="J7" s="18" t="n">
        <v>4250</v>
      </c>
      <c r="K7" s="15" t="inlineStr">
        <is>
          <t>CNF</t>
        </is>
      </c>
    </row>
    <row r="8">
      <c r="A8" s="10" t="inlineStr">
        <is>
          <t>4512983741</t>
        </is>
      </c>
      <c r="B8" s="10" t="n">
        <v>12301</v>
      </c>
      <c r="C8" s="28" t="n">
        <v>46311</v>
      </c>
      <c r="D8" s="11" t="inlineStr">
        <is>
          <t>Amitabh Bachchan</t>
        </is>
      </c>
      <c r="E8" s="12" t="n">
        <v>65</v>
      </c>
      <c r="F8" s="10" t="inlineStr">
        <is>
          <t>M</t>
        </is>
      </c>
      <c r="G8" s="10" t="inlineStr">
        <is>
          <t>SL</t>
        </is>
      </c>
      <c r="H8" s="10" t="inlineStr">
        <is>
          <t>2A</t>
        </is>
      </c>
      <c r="I8" s="10" t="inlineStr">
        <is>
          <t>SS</t>
        </is>
      </c>
      <c r="J8" s="13" t="n">
        <v>2850</v>
      </c>
      <c r="K8" s="10" t="inlineStr">
        <is>
          <t>CNF</t>
        </is>
      </c>
    </row>
    <row r="9">
      <c r="A9" s="15" t="inlineStr">
        <is>
          <t>8234109283</t>
        </is>
      </c>
      <c r="B9" s="15" t="n">
        <v>12626</v>
      </c>
      <c r="C9" s="29" t="n">
        <v>46313</v>
      </c>
      <c r="D9" s="16" t="inlineStr">
        <is>
          <t>Suresh Kumar</t>
        </is>
      </c>
      <c r="E9" s="17" t="n">
        <v>29</v>
      </c>
      <c r="F9" s="15" t="inlineStr">
        <is>
          <t>M</t>
        </is>
      </c>
      <c r="G9" s="15" t="inlineStr">
        <is>
          <t>MB</t>
        </is>
      </c>
      <c r="H9" s="15" t="inlineStr">
        <is>
          <t>3A</t>
        </is>
      </c>
      <c r="I9" s="15" t="inlineStr">
        <is>
          <t>GN</t>
        </is>
      </c>
      <c r="J9" s="18" t="n">
        <v>1680</v>
      </c>
      <c r="K9" s="15" t="inlineStr">
        <is>
          <t>RAC</t>
        </is>
      </c>
    </row>
    <row r="10">
      <c r="A10" s="10" t="inlineStr">
        <is>
          <t>8234109284</t>
        </is>
      </c>
      <c r="B10" s="10" t="n">
        <v>12626</v>
      </c>
      <c r="C10" s="28" t="n">
        <v>46313</v>
      </c>
      <c r="D10" s="11" t="inlineStr">
        <is>
          <t>Ananya Sen</t>
        </is>
      </c>
      <c r="E10" s="12" t="n">
        <v>26</v>
      </c>
      <c r="F10" s="10" t="inlineStr">
        <is>
          <t>F</t>
        </is>
      </c>
      <c r="G10" s="10" t="inlineStr">
        <is>
          <t>SUB</t>
        </is>
      </c>
      <c r="H10" s="10" t="inlineStr">
        <is>
          <t>3A</t>
        </is>
      </c>
      <c r="I10" s="10" t="inlineStr">
        <is>
          <t>LD</t>
        </is>
      </c>
      <c r="J10" s="13" t="n">
        <v>1680</v>
      </c>
      <c r="K10" s="10" t="inlineStr">
        <is>
          <t>WL</t>
        </is>
      </c>
    </row>
    <row r="11">
      <c r="A11" s="15" t="inlineStr">
        <is>
          <t>1029384756</t>
        </is>
      </c>
      <c r="B11" s="15" t="n">
        <v>20801</v>
      </c>
      <c r="C11" s="29" t="n">
        <v>46307</v>
      </c>
      <c r="D11" s="16" t="inlineStr">
        <is>
          <t>Vikramaditya Roy</t>
        </is>
      </c>
      <c r="E11" s="17" t="n">
        <v>34</v>
      </c>
      <c r="F11" s="15" t="inlineStr">
        <is>
          <t>M</t>
        </is>
      </c>
      <c r="G11" s="15" t="inlineStr">
        <is>
          <t>LB</t>
        </is>
      </c>
      <c r="H11" s="15" t="inlineStr">
        <is>
          <t>SL</t>
        </is>
      </c>
      <c r="I11" s="15" t="inlineStr">
        <is>
          <t>TQ</t>
        </is>
      </c>
      <c r="J11" s="18" t="n">
        <v>750</v>
      </c>
      <c r="K11" s="15" t="inlineStr">
        <is>
          <t>CNF</t>
        </is>
      </c>
    </row>
    <row r="12">
      <c r="A12" s="10" t="inlineStr">
        <is>
          <t>1029384757</t>
        </is>
      </c>
      <c r="B12" s="10" t="n">
        <v>20801</v>
      </c>
      <c r="C12" s="28" t="n">
        <v>46307</v>
      </c>
      <c r="D12" s="11" t="inlineStr">
        <is>
          <t>Sneha Roy</t>
        </is>
      </c>
      <c r="E12" s="12" t="n">
        <v>31</v>
      </c>
      <c r="F12" s="10" t="inlineStr">
        <is>
          <t>F</t>
        </is>
      </c>
      <c r="G12" s="10" t="inlineStr">
        <is>
          <t>MB</t>
        </is>
      </c>
      <c r="H12" s="10" t="inlineStr">
        <is>
          <t>SL</t>
        </is>
      </c>
      <c r="I12" s="10" t="inlineStr">
        <is>
          <t>TQ</t>
        </is>
      </c>
      <c r="J12" s="13" t="n">
        <v>750</v>
      </c>
      <c r="K12" s="10" t="inlineStr">
        <is>
          <t>CNF</t>
        </is>
      </c>
    </row>
    <row r="13">
      <c r="A13" s="15" t="inlineStr">
        <is>
          <t>6354210987</t>
        </is>
      </c>
      <c r="B13" s="15" t="n">
        <v>12002</v>
      </c>
      <c r="C13" s="29" t="n">
        <v>46309</v>
      </c>
      <c r="D13" s="16" t="inlineStr">
        <is>
          <t>Sunil Gavaskar</t>
        </is>
      </c>
      <c r="E13" s="17" t="n">
        <v>58</v>
      </c>
      <c r="F13" s="15" t="inlineStr">
        <is>
          <t>M</t>
        </is>
      </c>
      <c r="G13" s="15" t="inlineStr">
        <is>
          <t>WINDOW</t>
        </is>
      </c>
      <c r="H13" s="15" t="inlineStr">
        <is>
          <t>CC</t>
        </is>
      </c>
      <c r="I13" s="15" t="inlineStr">
        <is>
          <t>GN</t>
        </is>
      </c>
      <c r="J13" s="18" t="n">
        <v>1125</v>
      </c>
      <c r="K13" s="15" t="inlineStr">
        <is>
          <t>CNF</t>
        </is>
      </c>
    </row>
    <row r="14">
      <c r="A14" s="10" t="inlineStr">
        <is>
          <t>9876543210</t>
        </is>
      </c>
      <c r="B14" s="10" t="n">
        <v>12259</v>
      </c>
      <c r="C14" s="28" t="n">
        <v>46315</v>
      </c>
      <c r="D14" s="11" t="inlineStr">
        <is>
          <t>Rohan Verma</t>
        </is>
      </c>
      <c r="E14" s="12" t="n">
        <v>23</v>
      </c>
      <c r="F14" s="10" t="inlineStr">
        <is>
          <t>M</t>
        </is>
      </c>
      <c r="G14" s="10" t="inlineStr">
        <is>
          <t>UB</t>
        </is>
      </c>
      <c r="H14" s="10" t="inlineStr">
        <is>
          <t>3A</t>
        </is>
      </c>
      <c r="I14" s="10" t="inlineStr">
        <is>
          <t>PT</t>
        </is>
      </c>
      <c r="J14" s="13" t="n">
        <v>2450</v>
      </c>
      <c r="K14" s="10" t="inlineStr">
        <is>
          <t>CNF</t>
        </is>
      </c>
    </row>
    <row r="15">
      <c r="A15" s="15" t="inlineStr">
        <is>
          <t>9876543211</t>
        </is>
      </c>
      <c r="B15" s="15" t="n">
        <v>12259</v>
      </c>
      <c r="C15" s="29" t="n">
        <v>46315</v>
      </c>
      <c r="D15" s="16" t="inlineStr">
        <is>
          <t>Kavita Verma</t>
        </is>
      </c>
      <c r="E15" s="17" t="n">
        <v>52</v>
      </c>
      <c r="F15" s="15" t="inlineStr">
        <is>
          <t>F</t>
        </is>
      </c>
      <c r="G15" s="15" t="inlineStr">
        <is>
          <t>LB</t>
        </is>
      </c>
      <c r="H15" s="15" t="inlineStr">
        <is>
          <t>3A</t>
        </is>
      </c>
      <c r="I15" s="15" t="inlineStr">
        <is>
          <t>GN</t>
        </is>
      </c>
      <c r="J15" s="18" t="n">
        <v>1850</v>
      </c>
      <c r="K15" s="15" t="inlineStr">
        <is>
          <t>CAN</t>
        </is>
      </c>
    </row>
    <row r="16">
      <c r="A16" s="10" t="inlineStr">
        <is>
          <t>5463728190</t>
        </is>
      </c>
      <c r="B16" s="10" t="n">
        <v>12424</v>
      </c>
      <c r="C16" s="28" t="n">
        <v>46317</v>
      </c>
      <c r="D16" s="11" t="inlineStr">
        <is>
          <t>Deepak Gupta</t>
        </is>
      </c>
      <c r="E16" s="12" t="n">
        <v>45</v>
      </c>
      <c r="F16" s="10" t="inlineStr">
        <is>
          <t>M</t>
        </is>
      </c>
      <c r="G16" s="10" t="inlineStr">
        <is>
          <t>SL</t>
        </is>
      </c>
      <c r="H16" s="10" t="inlineStr">
        <is>
          <t>2A</t>
        </is>
      </c>
      <c r="I16" s="10" t="inlineStr">
        <is>
          <t>GN</t>
        </is>
      </c>
      <c r="J16" s="13" t="n">
        <v>3100</v>
      </c>
      <c r="K16" s="10" t="inlineStr">
        <is>
          <t>CNF</t>
        </is>
      </c>
    </row>
    <row r="17">
      <c r="A17" s="15" t="inlineStr">
        <is>
          <t>5463728191</t>
        </is>
      </c>
      <c r="B17" s="15" t="n">
        <v>12424</v>
      </c>
      <c r="C17" s="29" t="n">
        <v>46317</v>
      </c>
      <c r="D17" s="16" t="inlineStr">
        <is>
          <t>Pooja Gupta</t>
        </is>
      </c>
      <c r="E17" s="17" t="n">
        <v>41</v>
      </c>
      <c r="F17" s="15" t="inlineStr">
        <is>
          <t>F</t>
        </is>
      </c>
      <c r="G17" s="15" t="inlineStr">
        <is>
          <t>SU</t>
        </is>
      </c>
      <c r="H17" s="15" t="inlineStr">
        <is>
          <t>2A</t>
        </is>
      </c>
      <c r="I17" s="15" t="inlineStr">
        <is>
          <t>GN</t>
        </is>
      </c>
      <c r="J17" s="18" t="n">
        <v>3100</v>
      </c>
      <c r="K17" s="15" t="inlineStr">
        <is>
          <t>CNF</t>
        </is>
      </c>
    </row>
    <row r="18">
      <c r="A18" s="10" t="inlineStr">
        <is>
          <t>3728194056</t>
        </is>
      </c>
      <c r="B18" s="10" t="n">
        <v>12650</v>
      </c>
      <c r="C18" s="28" t="n">
        <v>46314</v>
      </c>
      <c r="D18" s="11" t="inlineStr">
        <is>
          <t>Manoj Tiwari</t>
        </is>
      </c>
      <c r="E18" s="12" t="n">
        <v>36</v>
      </c>
      <c r="F18" s="10" t="inlineStr">
        <is>
          <t>M</t>
        </is>
      </c>
      <c r="G18" s="10" t="inlineStr">
        <is>
          <t>MB</t>
        </is>
      </c>
      <c r="H18" s="10" t="inlineStr">
        <is>
          <t>3A</t>
        </is>
      </c>
      <c r="I18" s="10" t="inlineStr">
        <is>
          <t>GN</t>
        </is>
      </c>
      <c r="J18" s="13" t="n">
        <v>1720</v>
      </c>
      <c r="K18" s="10" t="inlineStr">
        <is>
          <t>WL</t>
        </is>
      </c>
    </row>
    <row r="19">
      <c r="A19" s="15" t="inlineStr">
        <is>
          <t>3728194057</t>
        </is>
      </c>
      <c r="B19" s="15" t="n">
        <v>12650</v>
      </c>
      <c r="C19" s="29" t="n">
        <v>46314</v>
      </c>
      <c r="D19" s="16" t="inlineStr">
        <is>
          <t>Rina Devi</t>
        </is>
      </c>
      <c r="E19" s="17" t="n">
        <v>33</v>
      </c>
      <c r="F19" s="15" t="inlineStr">
        <is>
          <t>F</t>
        </is>
      </c>
      <c r="G19" s="15" t="inlineStr">
        <is>
          <t>LB</t>
        </is>
      </c>
      <c r="H19" s="15" t="inlineStr">
        <is>
          <t>3A</t>
        </is>
      </c>
      <c r="I19" s="15" t="inlineStr">
        <is>
          <t>LD</t>
        </is>
      </c>
      <c r="J19" s="18" t="n">
        <v>1720</v>
      </c>
      <c r="K19" s="15" t="inlineStr">
        <is>
          <t>WL</t>
        </is>
      </c>
    </row>
    <row r="20">
      <c r="A20" s="10" t="inlineStr">
        <is>
          <t>7182930415</t>
        </is>
      </c>
      <c r="B20" s="10" t="n">
        <v>12951</v>
      </c>
      <c r="C20" s="28" t="n">
        <v>46320</v>
      </c>
      <c r="D20" s="11" t="inlineStr">
        <is>
          <t>Karan Johar</t>
        </is>
      </c>
      <c r="E20" s="12" t="n">
        <v>50</v>
      </c>
      <c r="F20" s="10" t="inlineStr">
        <is>
          <t>M</t>
        </is>
      </c>
      <c r="G20" s="10" t="inlineStr">
        <is>
          <t>LB</t>
        </is>
      </c>
      <c r="H20" s="10" t="inlineStr">
        <is>
          <t>1A</t>
        </is>
      </c>
      <c r="I20" s="10" t="inlineStr">
        <is>
          <t>GN</t>
        </is>
      </c>
      <c r="J20" s="13" t="n">
        <v>4250</v>
      </c>
      <c r="K20" s="10" t="inlineStr">
        <is>
          <t>CNF</t>
        </is>
      </c>
    </row>
    <row r="21">
      <c r="A21" s="15" t="inlineStr">
        <is>
          <t>9081726354</t>
        </is>
      </c>
      <c r="B21" s="15" t="n">
        <v>12213</v>
      </c>
      <c r="C21" s="29" t="n">
        <v>46316</v>
      </c>
      <c r="D21" s="16" t="inlineStr">
        <is>
          <t>Arjun Kapoor</t>
        </is>
      </c>
      <c r="E21" s="17" t="n">
        <v>28</v>
      </c>
      <c r="F21" s="15" t="inlineStr">
        <is>
          <t>M</t>
        </is>
      </c>
      <c r="G21" s="15" t="inlineStr">
        <is>
          <t>WINDOW</t>
        </is>
      </c>
      <c r="H21" s="15" t="inlineStr">
        <is>
          <t>CC</t>
        </is>
      </c>
      <c r="I21" s="15" t="inlineStr">
        <is>
          <t>TQ</t>
        </is>
      </c>
      <c r="J21" s="18" t="n">
        <v>1450</v>
      </c>
      <c r="K21" s="15" t="inlineStr">
        <is>
          <t>CNF</t>
        </is>
      </c>
    </row>
    <row r="22">
      <c r="A22" s="10" t="inlineStr">
        <is>
          <t>9081726355</t>
        </is>
      </c>
      <c r="B22" s="10" t="n">
        <v>12213</v>
      </c>
      <c r="C22" s="28" t="n">
        <v>46316</v>
      </c>
      <c r="D22" s="11" t="inlineStr">
        <is>
          <t>Janhvi Kapoor</t>
        </is>
      </c>
      <c r="E22" s="12" t="n">
        <v>25</v>
      </c>
      <c r="F22" s="10" t="inlineStr">
        <is>
          <t>F</t>
        </is>
      </c>
      <c r="G22" s="10" t="inlineStr">
        <is>
          <t>WINDOW</t>
        </is>
      </c>
      <c r="H22" s="10" t="inlineStr">
        <is>
          <t>CC</t>
        </is>
      </c>
      <c r="I22" s="10" t="inlineStr">
        <is>
          <t>TQ</t>
        </is>
      </c>
      <c r="J22" s="13" t="n">
        <v>1450</v>
      </c>
      <c r="K22" s="10" t="inlineStr">
        <is>
          <t>CNF</t>
        </is>
      </c>
    </row>
    <row r="23">
      <c r="A23" s="15" t="inlineStr">
        <is>
          <t>4930281765</t>
        </is>
      </c>
      <c r="B23" s="15" t="n">
        <v>12301</v>
      </c>
      <c r="C23" s="29" t="n">
        <v>46323</v>
      </c>
      <c r="D23" s="16" t="inlineStr">
        <is>
          <t>Sanjay Dutt</t>
        </is>
      </c>
      <c r="E23" s="17" t="n">
        <v>61</v>
      </c>
      <c r="F23" s="15" t="inlineStr">
        <is>
          <t>M</t>
        </is>
      </c>
      <c r="G23" s="15" t="inlineStr">
        <is>
          <t>LB</t>
        </is>
      </c>
      <c r="H23" s="15" t="inlineStr">
        <is>
          <t>3A</t>
        </is>
      </c>
      <c r="I23" s="15" t="inlineStr">
        <is>
          <t>SS</t>
        </is>
      </c>
      <c r="J23" s="18" t="n">
        <v>1520</v>
      </c>
      <c r="K23" s="15" t="inlineStr">
        <is>
          <t>CNF</t>
        </is>
      </c>
    </row>
    <row r="24">
      <c r="A24" s="10" t="inlineStr">
        <is>
          <t>6857410293</t>
        </is>
      </c>
      <c r="B24" s="10" t="n">
        <v>12626</v>
      </c>
      <c r="C24" s="28" t="n">
        <v>46325</v>
      </c>
      <c r="D24" s="11" t="inlineStr">
        <is>
          <t>Alok Nath</t>
        </is>
      </c>
      <c r="E24" s="12" t="n">
        <v>64</v>
      </c>
      <c r="F24" s="10" t="inlineStr">
        <is>
          <t>M</t>
        </is>
      </c>
      <c r="G24" s="10" t="inlineStr">
        <is>
          <t>LB</t>
        </is>
      </c>
      <c r="H24" s="10" t="inlineStr">
        <is>
          <t>SL</t>
        </is>
      </c>
      <c r="I24" s="10" t="inlineStr">
        <is>
          <t>SS</t>
        </is>
      </c>
      <c r="J24" s="13" t="n">
        <v>480</v>
      </c>
      <c r="K24" s="10" t="inlineStr">
        <is>
          <t>CNF</t>
        </is>
      </c>
    </row>
    <row r="25">
      <c r="A25" s="15" t="inlineStr">
        <is>
          <t>6857410294</t>
        </is>
      </c>
      <c r="B25" s="15" t="n">
        <v>12626</v>
      </c>
      <c r="C25" s="29" t="n">
        <v>46325</v>
      </c>
      <c r="D25" s="16" t="inlineStr">
        <is>
          <t>Bindu Dara</t>
        </is>
      </c>
      <c r="E25" s="17" t="n">
        <v>55</v>
      </c>
      <c r="F25" s="15" t="inlineStr">
        <is>
          <t>M</t>
        </is>
      </c>
      <c r="G25" s="15" t="inlineStr">
        <is>
          <t>MB</t>
        </is>
      </c>
      <c r="H25" s="15" t="inlineStr">
        <is>
          <t>SL</t>
        </is>
      </c>
      <c r="I25" s="15" t="inlineStr">
        <is>
          <t>GN</t>
        </is>
      </c>
      <c r="J25" s="18" t="n">
        <v>650</v>
      </c>
      <c r="K25" s="15" t="inlineStr">
        <is>
          <t>RAC</t>
        </is>
      </c>
    </row>
  </sheetData>
  <conditionalFormatting sqref="K6:K25">
    <cfRule type="cellIs" priority="1" operator="equal" dxfId="0">
      <formula>"CNF"</formula>
    </cfRule>
    <cfRule type="cellIs" priority="2" operator="equal" dxfId="1">
      <formula>"RAC"</formula>
    </cfRule>
    <cfRule type="cellIs" priority="3" operator="equal" dxfId="2">
      <formula>"WL"</formula>
    </cfRule>
    <cfRule type="cellIs" priority="4" operator="equal" dxfId="3">
      <formula>"CAN"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23" customWidth="1" min="4" max="4"/>
    <col width="18" customWidth="1" min="5" max="5"/>
    <col width="16" customWidth="1" min="6" max="6"/>
    <col width="17" customWidth="1" min="7" max="7"/>
    <col width="18" customWidth="1" min="8" max="8"/>
    <col width="12" customWidth="1" min="9" max="9"/>
  </cols>
  <sheetData>
    <row r="1">
      <c r="A1" s="1" t="inlineStr">
        <is>
          <t>TRAIN MASTER DIRECTORY</t>
        </is>
      </c>
    </row>
    <row r="2">
      <c r="A2" s="2" t="inlineStr">
        <is>
          <t>Master list of scheduled trains, routes, and operational details</t>
        </is>
      </c>
    </row>
    <row r="3"/>
    <row r="4"/>
    <row r="5">
      <c r="A5" s="9" t="inlineStr">
        <is>
          <t>Train No</t>
        </is>
      </c>
      <c r="B5" s="9" t="inlineStr">
        <is>
          <t>Train Name</t>
        </is>
      </c>
      <c r="C5" s="9" t="inlineStr">
        <is>
          <t>Origin Station</t>
        </is>
      </c>
      <c r="D5" s="9" t="inlineStr">
        <is>
          <t>Destination Station</t>
        </is>
      </c>
      <c r="E5" s="9" t="inlineStr">
        <is>
          <t>Departure Time</t>
        </is>
      </c>
      <c r="F5" s="9" t="inlineStr">
        <is>
          <t>Arrival Time</t>
        </is>
      </c>
      <c r="G5" s="9" t="inlineStr">
        <is>
          <t>Distance (km)</t>
        </is>
      </c>
      <c r="H5" s="9" t="inlineStr">
        <is>
          <t>Type</t>
        </is>
      </c>
      <c r="I5" s="9" t="inlineStr">
        <is>
          <t>Zone</t>
        </is>
      </c>
    </row>
    <row r="6">
      <c r="A6" s="10" t="n">
        <v>12951</v>
      </c>
      <c r="B6" s="11" t="inlineStr">
        <is>
          <t>Mumbai Rajdhani Express</t>
        </is>
      </c>
      <c r="C6" s="10" t="inlineStr">
        <is>
          <t>MMCT</t>
        </is>
      </c>
      <c r="D6" s="10" t="inlineStr">
        <is>
          <t>NDLS</t>
        </is>
      </c>
      <c r="E6" s="30" t="n">
        <v>0.7083333333333334</v>
      </c>
      <c r="F6" s="30" t="n">
        <v>0.3555555555555556</v>
      </c>
      <c r="G6" s="31" t="n">
        <v>1386</v>
      </c>
      <c r="H6" s="10" t="inlineStr">
        <is>
          <t>Rajdhani</t>
        </is>
      </c>
      <c r="I6" s="10" t="inlineStr">
        <is>
          <t>WR</t>
        </is>
      </c>
    </row>
    <row r="7">
      <c r="A7" s="15" t="n">
        <v>12301</v>
      </c>
      <c r="B7" s="16" t="inlineStr">
        <is>
          <t>Howrah Rajdhani Express</t>
        </is>
      </c>
      <c r="C7" s="15" t="inlineStr">
        <is>
          <t>HWH</t>
        </is>
      </c>
      <c r="D7" s="15" t="inlineStr">
        <is>
          <t>NDLS</t>
        </is>
      </c>
      <c r="E7" s="32" t="n">
        <v>0.7013888888888888</v>
      </c>
      <c r="F7" s="32" t="n">
        <v>0.4201388888888889</v>
      </c>
      <c r="G7" s="33" t="n">
        <v>1447</v>
      </c>
      <c r="H7" s="15" t="inlineStr">
        <is>
          <t>Rajdhani</t>
        </is>
      </c>
      <c r="I7" s="15" t="inlineStr">
        <is>
          <t>ER</t>
        </is>
      </c>
    </row>
    <row r="8">
      <c r="A8" s="10" t="n">
        <v>12626</v>
      </c>
      <c r="B8" s="11" t="inlineStr">
        <is>
          <t>Kerala Express</t>
        </is>
      </c>
      <c r="C8" s="10" t="inlineStr">
        <is>
          <t>NDLS</t>
        </is>
      </c>
      <c r="D8" s="10" t="inlineStr">
        <is>
          <t>TVC</t>
        </is>
      </c>
      <c r="E8" s="30" t="n">
        <v>0.8402777777777778</v>
      </c>
      <c r="F8" s="30" t="n">
        <v>0.75</v>
      </c>
      <c r="G8" s="31" t="n">
        <v>3035</v>
      </c>
      <c r="H8" s="10" t="inlineStr">
        <is>
          <t>Superfast</t>
        </is>
      </c>
      <c r="I8" s="10" t="inlineStr">
        <is>
          <t>SR</t>
        </is>
      </c>
    </row>
    <row r="9">
      <c r="A9" s="15" t="n">
        <v>20801</v>
      </c>
      <c r="B9" s="16" t="inlineStr">
        <is>
          <t>Magadh Express</t>
        </is>
      </c>
      <c r="C9" s="15" t="inlineStr">
        <is>
          <t>IPR</t>
        </is>
      </c>
      <c r="D9" s="15" t="inlineStr">
        <is>
          <t>NDLS</t>
        </is>
      </c>
      <c r="E9" s="32" t="n">
        <v>0.6458333333333334</v>
      </c>
      <c r="F9" s="32" t="n">
        <v>0.4930555555555556</v>
      </c>
      <c r="G9" s="33" t="n">
        <v>1003</v>
      </c>
      <c r="H9" s="15" t="inlineStr">
        <is>
          <t>Superfast</t>
        </is>
      </c>
      <c r="I9" s="15" t="inlineStr">
        <is>
          <t>ECR</t>
        </is>
      </c>
    </row>
    <row r="10">
      <c r="A10" s="10" t="n">
        <v>12002</v>
      </c>
      <c r="B10" s="11" t="inlineStr">
        <is>
          <t>Bhopal Shatabdi Express</t>
        </is>
      </c>
      <c r="C10" s="10" t="inlineStr">
        <is>
          <t>NDLS</t>
        </is>
      </c>
      <c r="D10" s="10" t="inlineStr">
        <is>
          <t>RKMP</t>
        </is>
      </c>
      <c r="E10" s="30" t="n">
        <v>0.25</v>
      </c>
      <c r="F10" s="30" t="n">
        <v>0.6111111111111112</v>
      </c>
      <c r="G10" s="31" t="n">
        <v>708</v>
      </c>
      <c r="H10" s="10" t="inlineStr">
        <is>
          <t>Shatabdi</t>
        </is>
      </c>
      <c r="I10" s="10" t="inlineStr">
        <is>
          <t>NR</t>
        </is>
      </c>
    </row>
    <row r="11">
      <c r="A11" s="15" t="n">
        <v>12259</v>
      </c>
      <c r="B11" s="16" t="inlineStr">
        <is>
          <t>Sealdah Duronto Express</t>
        </is>
      </c>
      <c r="C11" s="15" t="inlineStr">
        <is>
          <t>SDAH</t>
        </is>
      </c>
      <c r="D11" s="15" t="inlineStr">
        <is>
          <t>NDLS</t>
        </is>
      </c>
      <c r="E11" s="32" t="n">
        <v>0.7708333333333334</v>
      </c>
      <c r="F11" s="32" t="n">
        <v>0.4583333333333333</v>
      </c>
      <c r="G11" s="33" t="n">
        <v>1452</v>
      </c>
      <c r="H11" s="15" t="inlineStr">
        <is>
          <t>Duronto</t>
        </is>
      </c>
      <c r="I11" s="15" t="inlineStr">
        <is>
          <t>ER</t>
        </is>
      </c>
    </row>
    <row r="12">
      <c r="A12" s="10" t="n">
        <v>12424</v>
      </c>
      <c r="B12" s="11" t="inlineStr">
        <is>
          <t>Dibrugarh Rajdhani Express</t>
        </is>
      </c>
      <c r="C12" s="10" t="inlineStr">
        <is>
          <t>NDLS</t>
        </is>
      </c>
      <c r="D12" s="10" t="inlineStr">
        <is>
          <t>DBRG</t>
        </is>
      </c>
      <c r="E12" s="30" t="n">
        <v>0.6805555555555556</v>
      </c>
      <c r="F12" s="30" t="n">
        <v>0.2916666666666667</v>
      </c>
      <c r="G12" s="31" t="n">
        <v>2427</v>
      </c>
      <c r="H12" s="10" t="inlineStr">
        <is>
          <t>Rajdhani</t>
        </is>
      </c>
      <c r="I12" s="10" t="inlineStr">
        <is>
          <t>NFR</t>
        </is>
      </c>
    </row>
    <row r="13">
      <c r="A13" s="15" t="n">
        <v>12650</v>
      </c>
      <c r="B13" s="16" t="inlineStr">
        <is>
          <t>Karnataka Sampark Kranti</t>
        </is>
      </c>
      <c r="C13" s="15" t="inlineStr">
        <is>
          <t>NZM</t>
        </is>
      </c>
      <c r="D13" s="15" t="inlineStr">
        <is>
          <t>YPR</t>
        </is>
      </c>
      <c r="E13" s="32" t="n">
        <v>0.2673611111111111</v>
      </c>
      <c r="F13" s="32" t="n">
        <v>0.6458333333333334</v>
      </c>
      <c r="G13" s="33" t="n">
        <v>2611</v>
      </c>
      <c r="H13" s="15" t="inlineStr">
        <is>
          <t>Sampark Kranti</t>
        </is>
      </c>
      <c r="I13" s="15" t="inlineStr">
        <is>
          <t>SWR</t>
        </is>
      </c>
    </row>
    <row r="14">
      <c r="A14" s="10" t="n">
        <v>12213</v>
      </c>
      <c r="B14" s="11" t="inlineStr">
        <is>
          <t>Yesvantpur Duronto</t>
        </is>
      </c>
      <c r="C14" s="10" t="inlineStr">
        <is>
          <t>YPR</t>
        </is>
      </c>
      <c r="D14" s="10" t="inlineStr">
        <is>
          <t>DEE</t>
        </is>
      </c>
      <c r="E14" s="30" t="n">
        <v>0.9861111111111112</v>
      </c>
      <c r="F14" s="30" t="n">
        <v>0.2916666666666667</v>
      </c>
      <c r="G14" s="31" t="n">
        <v>2367</v>
      </c>
      <c r="H14" s="10" t="inlineStr">
        <is>
          <t>Duronto</t>
        </is>
      </c>
      <c r="I14" s="10" t="inlineStr">
        <is>
          <t>SWR</t>
        </is>
      </c>
    </row>
    <row r="15">
      <c r="A15" s="15" t="n">
        <v>22436</v>
      </c>
      <c r="B15" s="16" t="inlineStr">
        <is>
          <t>Vande Bharat Express</t>
        </is>
      </c>
      <c r="C15" s="15" t="inlineStr">
        <is>
          <t>NDLS</t>
        </is>
      </c>
      <c r="D15" s="15" t="inlineStr">
        <is>
          <t>BSB</t>
        </is>
      </c>
      <c r="E15" s="32" t="n">
        <v>0.25</v>
      </c>
      <c r="F15" s="32" t="n">
        <v>0.5833333333333334</v>
      </c>
      <c r="G15" s="33" t="n">
        <v>757</v>
      </c>
      <c r="H15" s="15" t="inlineStr">
        <is>
          <t>Vande Bharat</t>
        </is>
      </c>
      <c r="I15" s="15" t="inlineStr">
        <is>
          <t>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2" customWidth="1" min="3" max="3"/>
    <col width="18" customWidth="1" min="4" max="4"/>
    <col width="16" customWidth="1" min="5" max="5"/>
    <col width="23" customWidth="1" min="6" max="6"/>
  </cols>
  <sheetData>
    <row r="1">
      <c r="A1" s="1" t="inlineStr">
        <is>
          <t>STATION DIRECTORY</t>
        </is>
      </c>
    </row>
    <row r="2">
      <c r="A2" s="2" t="inlineStr">
        <is>
          <t>Master database of railway stations, codes, and zones</t>
        </is>
      </c>
    </row>
    <row r="3"/>
    <row r="4"/>
    <row r="5">
      <c r="A5" s="9" t="inlineStr">
        <is>
          <t>Station Code</t>
        </is>
      </c>
      <c r="B5" s="9" t="inlineStr">
        <is>
          <t>Station Name</t>
        </is>
      </c>
      <c r="C5" s="9" t="inlineStr">
        <is>
          <t>City</t>
        </is>
      </c>
      <c r="D5" s="9" t="inlineStr">
        <is>
          <t>State</t>
        </is>
      </c>
      <c r="E5" s="9" t="inlineStr">
        <is>
          <t>Railway Zone</t>
        </is>
      </c>
      <c r="F5" s="9" t="inlineStr">
        <is>
          <t>Number of Platforms</t>
        </is>
      </c>
    </row>
    <row r="6">
      <c r="A6" s="10" t="inlineStr">
        <is>
          <t>NDLS</t>
        </is>
      </c>
      <c r="B6" s="11" t="inlineStr">
        <is>
          <t>New Delhi Railway Station</t>
        </is>
      </c>
      <c r="C6" s="11" t="inlineStr">
        <is>
          <t>New Delhi</t>
        </is>
      </c>
      <c r="D6" s="11" t="inlineStr">
        <is>
          <t>Delhi</t>
        </is>
      </c>
      <c r="E6" s="10" t="inlineStr">
        <is>
          <t>NR</t>
        </is>
      </c>
      <c r="F6" s="12" t="n">
        <v>16</v>
      </c>
    </row>
    <row r="7">
      <c r="A7" s="15" t="inlineStr">
        <is>
          <t>MMCT</t>
        </is>
      </c>
      <c r="B7" s="16" t="inlineStr">
        <is>
          <t>Mumbai Central</t>
        </is>
      </c>
      <c r="C7" s="16" t="inlineStr">
        <is>
          <t>Mumbai</t>
        </is>
      </c>
      <c r="D7" s="16" t="inlineStr">
        <is>
          <t>Maharashtra</t>
        </is>
      </c>
      <c r="E7" s="15" t="inlineStr">
        <is>
          <t>WR</t>
        </is>
      </c>
      <c r="F7" s="17" t="n">
        <v>9</v>
      </c>
    </row>
    <row r="8">
      <c r="A8" s="10" t="inlineStr">
        <is>
          <t>HWH</t>
        </is>
      </c>
      <c r="B8" s="11" t="inlineStr">
        <is>
          <t>Howrah Junction</t>
        </is>
      </c>
      <c r="C8" s="11" t="inlineStr">
        <is>
          <t>Kolkata</t>
        </is>
      </c>
      <c r="D8" s="11" t="inlineStr">
        <is>
          <t>West Bengal</t>
        </is>
      </c>
      <c r="E8" s="10" t="inlineStr">
        <is>
          <t>ER</t>
        </is>
      </c>
      <c r="F8" s="12" t="n">
        <v>23</v>
      </c>
    </row>
    <row r="9">
      <c r="A9" s="15" t="inlineStr">
        <is>
          <t>TVC</t>
        </is>
      </c>
      <c r="B9" s="16" t="inlineStr">
        <is>
          <t>Thiruvananthapuram Central</t>
        </is>
      </c>
      <c r="C9" s="16" t="inlineStr">
        <is>
          <t>Thiruvananthapuram</t>
        </is>
      </c>
      <c r="D9" s="16" t="inlineStr">
        <is>
          <t>Kerala</t>
        </is>
      </c>
      <c r="E9" s="15" t="inlineStr">
        <is>
          <t>SR</t>
        </is>
      </c>
      <c r="F9" s="17" t="n">
        <v>5</v>
      </c>
    </row>
    <row r="10">
      <c r="A10" s="10" t="inlineStr">
        <is>
          <t>IPR</t>
        </is>
      </c>
      <c r="B10" s="11" t="inlineStr">
        <is>
          <t>Islampur</t>
        </is>
      </c>
      <c r="C10" s="11" t="inlineStr">
        <is>
          <t>Islampur</t>
        </is>
      </c>
      <c r="D10" s="11" t="inlineStr">
        <is>
          <t>Bihar</t>
        </is>
      </c>
      <c r="E10" s="10" t="inlineStr">
        <is>
          <t>ECR</t>
        </is>
      </c>
      <c r="F10" s="12" t="n">
        <v>3</v>
      </c>
    </row>
    <row r="11">
      <c r="A11" s="15" t="inlineStr">
        <is>
          <t>RKMP</t>
        </is>
      </c>
      <c r="B11" s="16" t="inlineStr">
        <is>
          <t>Rani Kamlapati (Bhopal)</t>
        </is>
      </c>
      <c r="C11" s="16" t="inlineStr">
        <is>
          <t>Bhopal</t>
        </is>
      </c>
      <c r="D11" s="16" t="inlineStr">
        <is>
          <t>Madhya Pradesh</t>
        </is>
      </c>
      <c r="E11" s="15" t="inlineStr">
        <is>
          <t>WCR</t>
        </is>
      </c>
      <c r="F11" s="17" t="n">
        <v>5</v>
      </c>
    </row>
    <row r="12">
      <c r="A12" s="10" t="inlineStr">
        <is>
          <t>SDAH</t>
        </is>
      </c>
      <c r="B12" s="11" t="inlineStr">
        <is>
          <t>Sealdah</t>
        </is>
      </c>
      <c r="C12" s="11" t="inlineStr">
        <is>
          <t>Kolkata</t>
        </is>
      </c>
      <c r="D12" s="11" t="inlineStr">
        <is>
          <t>West Bengal</t>
        </is>
      </c>
      <c r="E12" s="10" t="inlineStr">
        <is>
          <t>ER</t>
        </is>
      </c>
      <c r="F12" s="12" t="n">
        <v>21</v>
      </c>
    </row>
    <row r="13">
      <c r="A13" s="15" t="inlineStr">
        <is>
          <t>DBRG</t>
        </is>
      </c>
      <c r="B13" s="16" t="inlineStr">
        <is>
          <t>Dibrugarh</t>
        </is>
      </c>
      <c r="C13" s="16" t="inlineStr">
        <is>
          <t>Dibrugarh</t>
        </is>
      </c>
      <c r="D13" s="16" t="inlineStr">
        <is>
          <t>Assam</t>
        </is>
      </c>
      <c r="E13" s="15" t="inlineStr">
        <is>
          <t>NFR</t>
        </is>
      </c>
      <c r="F13" s="17" t="n">
        <v>4</v>
      </c>
    </row>
    <row r="14">
      <c r="A14" s="10" t="inlineStr">
        <is>
          <t>NZM</t>
        </is>
      </c>
      <c r="B14" s="11" t="inlineStr">
        <is>
          <t>Hazrat Nizamuddin</t>
        </is>
      </c>
      <c r="C14" s="11" t="inlineStr">
        <is>
          <t>New Delhi</t>
        </is>
      </c>
      <c r="D14" s="11" t="inlineStr">
        <is>
          <t>Delhi</t>
        </is>
      </c>
      <c r="E14" s="10" t="inlineStr">
        <is>
          <t>NR</t>
        </is>
      </c>
      <c r="F14" s="12" t="n">
        <v>9</v>
      </c>
    </row>
    <row r="15">
      <c r="A15" s="15" t="inlineStr">
        <is>
          <t>YPR</t>
        </is>
      </c>
      <c r="B15" s="16" t="inlineStr">
        <is>
          <t>Yesvantpur Junction</t>
        </is>
      </c>
      <c r="C15" s="16" t="inlineStr">
        <is>
          <t>Bengaluru</t>
        </is>
      </c>
      <c r="D15" s="16" t="inlineStr">
        <is>
          <t>Karnataka</t>
        </is>
      </c>
      <c r="E15" s="15" t="inlineStr">
        <is>
          <t>SWR</t>
        </is>
      </c>
      <c r="F15" s="17" t="n">
        <v>6</v>
      </c>
    </row>
    <row r="16">
      <c r="A16" s="10" t="inlineStr">
        <is>
          <t>BSB</t>
        </is>
      </c>
      <c r="B16" s="11" t="inlineStr">
        <is>
          <t>Varanasi Junction</t>
        </is>
      </c>
      <c r="C16" s="11" t="inlineStr">
        <is>
          <t>Varanasi</t>
        </is>
      </c>
      <c r="D16" s="11" t="inlineStr">
        <is>
          <t>Uttar Pradesh</t>
        </is>
      </c>
      <c r="E16" s="10" t="inlineStr">
        <is>
          <t>NR</t>
        </is>
      </c>
      <c r="F16" s="12" t="n">
        <v>9</v>
      </c>
    </row>
    <row r="17">
      <c r="A17" s="15" t="inlineStr">
        <is>
          <t>MAS</t>
        </is>
      </c>
      <c r="B17" s="16" t="inlineStr">
        <is>
          <t>MGR Chennai Central</t>
        </is>
      </c>
      <c r="C17" s="16" t="inlineStr">
        <is>
          <t>Chennai</t>
        </is>
      </c>
      <c r="D17" s="16" t="inlineStr">
        <is>
          <t>Tamil Nadu</t>
        </is>
      </c>
      <c r="E17" s="15" t="inlineStr">
        <is>
          <t>SR</t>
        </is>
      </c>
      <c r="F17" s="17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7" customWidth="1" min="4" max="4"/>
    <col width="23" customWidth="1" min="5" max="5"/>
    <col width="24" customWidth="1" min="6" max="6"/>
    <col width="12" customWidth="1" min="7" max="7"/>
  </cols>
  <sheetData>
    <row r="1">
      <c r="A1" s="1" t="inlineStr">
        <is>
          <t>BASE FARE MATRIX (PER KM SLAB)</t>
        </is>
      </c>
    </row>
    <row r="2">
      <c r="A2" s="2" t="inlineStr">
        <is>
          <t>Distance-based class fare structure and base pricing rules</t>
        </is>
      </c>
    </row>
    <row r="3"/>
    <row r="4"/>
    <row r="5">
      <c r="A5" s="9" t="inlineStr">
        <is>
          <t>Distance Slab (km)</t>
        </is>
      </c>
      <c r="B5" s="9" t="inlineStr">
        <is>
          <t>Class Code</t>
        </is>
      </c>
      <c r="C5" s="9" t="inlineStr">
        <is>
          <t>Class Description</t>
        </is>
      </c>
      <c r="D5" s="9" t="inlineStr">
        <is>
          <t>Base Fare (₹)</t>
        </is>
      </c>
      <c r="E5" s="9" t="inlineStr">
        <is>
          <t>Reservation Fee (₹)</t>
        </is>
      </c>
      <c r="F5" s="9" t="inlineStr">
        <is>
          <t>Superfast Charge (₹)</t>
        </is>
      </c>
      <c r="G5" s="9" t="inlineStr">
        <is>
          <t>GST %</t>
        </is>
      </c>
    </row>
    <row r="6">
      <c r="A6" s="10" t="inlineStr">
        <is>
          <t>1 - 500</t>
        </is>
      </c>
      <c r="B6" s="10" t="inlineStr">
        <is>
          <t>SL</t>
        </is>
      </c>
      <c r="C6" s="11" t="inlineStr">
        <is>
          <t>Sleeper Class</t>
        </is>
      </c>
      <c r="D6" s="13" t="n">
        <v>270</v>
      </c>
      <c r="E6" s="13" t="n">
        <v>20</v>
      </c>
      <c r="F6" s="13" t="n">
        <v>30</v>
      </c>
      <c r="G6" s="34" t="n">
        <v>0</v>
      </c>
    </row>
    <row r="7">
      <c r="A7" s="15" t="inlineStr">
        <is>
          <t>1 - 500</t>
        </is>
      </c>
      <c r="B7" s="15" t="inlineStr">
        <is>
          <t>3A</t>
        </is>
      </c>
      <c r="C7" s="16" t="inlineStr">
        <is>
          <t>AC 3-Tier</t>
        </is>
      </c>
      <c r="D7" s="18" t="n">
        <v>680</v>
      </c>
      <c r="E7" s="18" t="n">
        <v>40</v>
      </c>
      <c r="F7" s="18" t="n">
        <v>45</v>
      </c>
      <c r="G7" s="35" t="n">
        <v>0.05</v>
      </c>
    </row>
    <row r="8">
      <c r="A8" s="10" t="inlineStr">
        <is>
          <t>1 - 500</t>
        </is>
      </c>
      <c r="B8" s="10" t="inlineStr">
        <is>
          <t>2A</t>
        </is>
      </c>
      <c r="C8" s="11" t="inlineStr">
        <is>
          <t>AC 2-Tier</t>
        </is>
      </c>
      <c r="D8" s="13" t="n">
        <v>980</v>
      </c>
      <c r="E8" s="13" t="n">
        <v>50</v>
      </c>
      <c r="F8" s="13" t="n">
        <v>50</v>
      </c>
      <c r="G8" s="34" t="n">
        <v>0.05</v>
      </c>
    </row>
    <row r="9">
      <c r="A9" s="15" t="inlineStr">
        <is>
          <t>1 - 500</t>
        </is>
      </c>
      <c r="B9" s="15" t="inlineStr">
        <is>
          <t>1A</t>
        </is>
      </c>
      <c r="C9" s="16" t="inlineStr">
        <is>
          <t>AC First Class</t>
        </is>
      </c>
      <c r="D9" s="18" t="n">
        <v>1650</v>
      </c>
      <c r="E9" s="18" t="n">
        <v>60</v>
      </c>
      <c r="F9" s="18" t="n">
        <v>75</v>
      </c>
      <c r="G9" s="35" t="n">
        <v>0.05</v>
      </c>
    </row>
    <row r="10">
      <c r="A10" s="10" t="inlineStr">
        <is>
          <t>501 - 1000</t>
        </is>
      </c>
      <c r="B10" s="10" t="inlineStr">
        <is>
          <t>SL</t>
        </is>
      </c>
      <c r="C10" s="11" t="inlineStr">
        <is>
          <t>Sleeper Class</t>
        </is>
      </c>
      <c r="D10" s="13" t="n">
        <v>480</v>
      </c>
      <c r="E10" s="13" t="n">
        <v>20</v>
      </c>
      <c r="F10" s="13" t="n">
        <v>30</v>
      </c>
      <c r="G10" s="34" t="n">
        <v>0</v>
      </c>
    </row>
    <row r="11">
      <c r="A11" s="15" t="inlineStr">
        <is>
          <t>501 - 1000</t>
        </is>
      </c>
      <c r="B11" s="15" t="inlineStr">
        <is>
          <t>3A</t>
        </is>
      </c>
      <c r="C11" s="16" t="inlineStr">
        <is>
          <t>AC 3-Tier</t>
        </is>
      </c>
      <c r="D11" s="18" t="n">
        <v>1150</v>
      </c>
      <c r="E11" s="18" t="n">
        <v>40</v>
      </c>
      <c r="F11" s="18" t="n">
        <v>45</v>
      </c>
      <c r="G11" s="35" t="n">
        <v>0.05</v>
      </c>
    </row>
    <row r="12">
      <c r="A12" s="10" t="inlineStr">
        <is>
          <t>501 - 1000</t>
        </is>
      </c>
      <c r="B12" s="10" t="inlineStr">
        <is>
          <t>2A</t>
        </is>
      </c>
      <c r="C12" s="11" t="inlineStr">
        <is>
          <t>AC 2-Tier</t>
        </is>
      </c>
      <c r="D12" s="13" t="n">
        <v>1680</v>
      </c>
      <c r="E12" s="13" t="n">
        <v>50</v>
      </c>
      <c r="F12" s="13" t="n">
        <v>50</v>
      </c>
      <c r="G12" s="34" t="n">
        <v>0.05</v>
      </c>
    </row>
    <row r="13">
      <c r="A13" s="15" t="inlineStr">
        <is>
          <t>501 - 1000</t>
        </is>
      </c>
      <c r="B13" s="15" t="inlineStr">
        <is>
          <t>1A</t>
        </is>
      </c>
      <c r="C13" s="16" t="inlineStr">
        <is>
          <t>AC First Class</t>
        </is>
      </c>
      <c r="D13" s="18" t="n">
        <v>2850</v>
      </c>
      <c r="E13" s="18" t="n">
        <v>60</v>
      </c>
      <c r="F13" s="18" t="n">
        <v>75</v>
      </c>
      <c r="G13" s="35" t="n">
        <v>0.05</v>
      </c>
    </row>
    <row r="14">
      <c r="A14" s="10" t="inlineStr">
        <is>
          <t>1001 - 2000</t>
        </is>
      </c>
      <c r="B14" s="10" t="inlineStr">
        <is>
          <t>SL</t>
        </is>
      </c>
      <c r="C14" s="11" t="inlineStr">
        <is>
          <t>Sleeper Class</t>
        </is>
      </c>
      <c r="D14" s="13" t="n">
        <v>680</v>
      </c>
      <c r="E14" s="13" t="n">
        <v>20</v>
      </c>
      <c r="F14" s="13" t="n">
        <v>30</v>
      </c>
      <c r="G14" s="34" t="n">
        <v>0</v>
      </c>
    </row>
    <row r="15">
      <c r="A15" s="15" t="inlineStr">
        <is>
          <t>1001 - 2000</t>
        </is>
      </c>
      <c r="B15" s="15" t="inlineStr">
        <is>
          <t>3A</t>
        </is>
      </c>
      <c r="C15" s="16" t="inlineStr">
        <is>
          <t>AC 3-Tier</t>
        </is>
      </c>
      <c r="D15" s="18" t="n">
        <v>1750</v>
      </c>
      <c r="E15" s="18" t="n">
        <v>40</v>
      </c>
      <c r="F15" s="18" t="n">
        <v>45</v>
      </c>
      <c r="G15" s="35" t="n">
        <v>0.05</v>
      </c>
    </row>
    <row r="16">
      <c r="A16" s="10" t="inlineStr">
        <is>
          <t>1001 - 2000</t>
        </is>
      </c>
      <c r="B16" s="10" t="inlineStr">
        <is>
          <t>2A</t>
        </is>
      </c>
      <c r="C16" s="11" t="inlineStr">
        <is>
          <t>AC 2-Tier</t>
        </is>
      </c>
      <c r="D16" s="13" t="n">
        <v>2550</v>
      </c>
      <c r="E16" s="13" t="n">
        <v>50</v>
      </c>
      <c r="F16" s="13" t="n">
        <v>50</v>
      </c>
      <c r="G16" s="34" t="n">
        <v>0.05</v>
      </c>
    </row>
    <row r="17">
      <c r="A17" s="15" t="inlineStr">
        <is>
          <t>1001 - 2000</t>
        </is>
      </c>
      <c r="B17" s="15" t="inlineStr">
        <is>
          <t>1A</t>
        </is>
      </c>
      <c r="C17" s="16" t="inlineStr">
        <is>
          <t>AC First Class</t>
        </is>
      </c>
      <c r="D17" s="18" t="n">
        <v>4250</v>
      </c>
      <c r="E17" s="18" t="n">
        <v>60</v>
      </c>
      <c r="F17" s="18" t="n">
        <v>75</v>
      </c>
      <c r="G17" s="35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2" customWidth="1" min="4" max="4"/>
    <col width="15" customWidth="1" min="5" max="5"/>
    <col width="21" customWidth="1" min="6" max="6"/>
    <col width="28" customWidth="1" min="7" max="7"/>
    <col width="12" customWidth="1" min="8" max="8"/>
    <col width="16" customWidth="1" min="9" max="9"/>
    <col width="36" customWidth="1" min="10" max="10"/>
  </cols>
  <sheetData>
    <row r="1">
      <c r="A1" s="1" t="inlineStr">
        <is>
          <t>SYSTEM LOOKUP &amp; REFERENCE CODES</t>
        </is>
      </c>
    </row>
    <row r="2">
      <c r="A2" s="2" t="inlineStr">
        <is>
          <t>Reference mappings for Class, Quota, and Status codes</t>
        </is>
      </c>
    </row>
    <row r="3"/>
    <row r="4"/>
    <row r="5">
      <c r="A5" s="8" t="inlineStr">
        <is>
          <t>Class Codes</t>
        </is>
      </c>
      <c r="E5" s="8" t="inlineStr">
        <is>
          <t>Quota Codes</t>
        </is>
      </c>
      <c r="I5" s="8" t="inlineStr">
        <is>
          <t>Status Codes</t>
        </is>
      </c>
    </row>
    <row r="6">
      <c r="A6" s="9" t="inlineStr">
        <is>
          <t>Class Code</t>
        </is>
      </c>
      <c r="B6" s="9" t="inlineStr">
        <is>
          <t>Description</t>
        </is>
      </c>
      <c r="C6" s="9" t="inlineStr">
        <is>
          <t>AC / Non-AC</t>
        </is>
      </c>
      <c r="D6" s="9" t="n"/>
      <c r="E6" s="9" t="inlineStr">
        <is>
          <t>Quota Code</t>
        </is>
      </c>
      <c r="F6" s="9" t="inlineStr">
        <is>
          <t>Quota Name</t>
        </is>
      </c>
      <c r="G6" s="9" t="inlineStr">
        <is>
          <t>Concession / Rule</t>
        </is>
      </c>
      <c r="H6" s="9" t="n"/>
      <c r="I6" s="9" t="inlineStr">
        <is>
          <t>Status Code</t>
        </is>
      </c>
      <c r="J6" s="9" t="inlineStr">
        <is>
          <t>Status Description</t>
        </is>
      </c>
    </row>
    <row r="7">
      <c r="A7" s="10" t="inlineStr">
        <is>
          <t>1A</t>
        </is>
      </c>
      <c r="B7" s="11" t="inlineStr">
        <is>
          <t>AC First Class</t>
        </is>
      </c>
      <c r="C7" s="11" t="inlineStr">
        <is>
          <t>AC</t>
        </is>
      </c>
      <c r="D7" s="11" t="n"/>
      <c r="E7" s="11" t="inlineStr">
        <is>
          <t>GN</t>
        </is>
      </c>
      <c r="F7" s="11" t="inlineStr">
        <is>
          <t>General Quota</t>
        </is>
      </c>
      <c r="G7" s="11" t="inlineStr">
        <is>
          <t>Standard Booking</t>
        </is>
      </c>
      <c r="H7" s="11" t="n"/>
      <c r="I7" s="11" t="inlineStr">
        <is>
          <t>CNF</t>
        </is>
      </c>
      <c r="J7" s="11" t="inlineStr">
        <is>
          <t>Confirmed Seat / Berth</t>
        </is>
      </c>
    </row>
    <row r="8">
      <c r="A8" s="15" t="inlineStr">
        <is>
          <t>2A</t>
        </is>
      </c>
      <c r="B8" s="16" t="inlineStr">
        <is>
          <t>AC 2-Tier</t>
        </is>
      </c>
      <c r="C8" s="16" t="inlineStr">
        <is>
          <t>AC</t>
        </is>
      </c>
      <c r="D8" s="16" t="n"/>
      <c r="E8" s="16" t="inlineStr">
        <is>
          <t>TQ</t>
        </is>
      </c>
      <c r="F8" s="16" t="inlineStr">
        <is>
          <t>Tatkal Quota</t>
        </is>
      </c>
      <c r="G8" s="16" t="inlineStr">
        <is>
          <t>Premium Charges Apply</t>
        </is>
      </c>
      <c r="H8" s="16" t="n"/>
      <c r="I8" s="16" t="inlineStr">
        <is>
          <t>RAC</t>
        </is>
      </c>
      <c r="J8" s="16" t="inlineStr">
        <is>
          <t>Reservation Against Cancellation</t>
        </is>
      </c>
    </row>
    <row r="9">
      <c r="A9" s="10" t="inlineStr">
        <is>
          <t>3A</t>
        </is>
      </c>
      <c r="B9" s="11" t="inlineStr">
        <is>
          <t>AC 3-Tier</t>
        </is>
      </c>
      <c r="C9" s="11" t="inlineStr">
        <is>
          <t>AC</t>
        </is>
      </c>
      <c r="D9" s="11" t="n"/>
      <c r="E9" s="11" t="inlineStr">
        <is>
          <t>PT</t>
        </is>
      </c>
      <c r="F9" s="11" t="inlineStr">
        <is>
          <t>Premium Tatkal</t>
        </is>
      </c>
      <c r="G9" s="11" t="inlineStr">
        <is>
          <t>Dynamic Pricing</t>
        </is>
      </c>
      <c r="H9" s="11" t="n"/>
      <c r="I9" s="11" t="inlineStr">
        <is>
          <t>WL</t>
        </is>
      </c>
      <c r="J9" s="11" t="inlineStr">
        <is>
          <t>Waitlisted Ticket</t>
        </is>
      </c>
    </row>
    <row r="10">
      <c r="A10" s="15" t="inlineStr">
        <is>
          <t>3E</t>
        </is>
      </c>
      <c r="B10" s="16" t="inlineStr">
        <is>
          <t>AC 3-Tier Economy</t>
        </is>
      </c>
      <c r="C10" s="16" t="inlineStr">
        <is>
          <t>AC</t>
        </is>
      </c>
      <c r="D10" s="16" t="n"/>
      <c r="E10" s="16" t="inlineStr">
        <is>
          <t>LD</t>
        </is>
      </c>
      <c r="F10" s="16" t="inlineStr">
        <is>
          <t>Ladies Quota</t>
        </is>
      </c>
      <c r="G10" s="16" t="inlineStr">
        <is>
          <t>Solo / Female Passengers</t>
        </is>
      </c>
      <c r="H10" s="16" t="n"/>
      <c r="I10" s="16" t="inlineStr">
        <is>
          <t>CAN</t>
        </is>
      </c>
      <c r="J10" s="16" t="inlineStr">
        <is>
          <t>Cancelled Booking</t>
        </is>
      </c>
    </row>
    <row r="11">
      <c r="A11" s="10" t="inlineStr">
        <is>
          <t>CC</t>
        </is>
      </c>
      <c r="B11" s="11" t="inlineStr">
        <is>
          <t>AC Chair Car</t>
        </is>
      </c>
      <c r="C11" s="11" t="inlineStr">
        <is>
          <t>AC</t>
        </is>
      </c>
      <c r="D11" s="11" t="n"/>
      <c r="E11" s="11" t="inlineStr">
        <is>
          <t>SS</t>
        </is>
      </c>
      <c r="F11" s="11" t="inlineStr">
        <is>
          <t>Senior Citizen</t>
        </is>
      </c>
      <c r="G11" s="11" t="inlineStr">
        <is>
          <t>Lower Berth Priority</t>
        </is>
      </c>
      <c r="H11" s="11" t="n"/>
      <c r="I11" s="11" t="inlineStr">
        <is>
          <t>NOSB</t>
        </is>
      </c>
      <c r="J11" s="11" t="inlineStr">
        <is>
          <t>No Seat Berth (Child)</t>
        </is>
      </c>
    </row>
    <row r="12">
      <c r="A12" s="15" t="inlineStr">
        <is>
          <t>EC</t>
        </is>
      </c>
      <c r="B12" s="16" t="inlineStr">
        <is>
          <t>Executive Chair Car</t>
        </is>
      </c>
      <c r="C12" s="16" t="inlineStr">
        <is>
          <t>AC</t>
        </is>
      </c>
      <c r="D12" s="16" t="n"/>
      <c r="E12" s="16" t="inlineStr">
        <is>
          <t>HP</t>
        </is>
      </c>
      <c r="F12" s="16" t="inlineStr">
        <is>
          <t>Handicapped Quota</t>
        </is>
      </c>
      <c r="G12" s="16" t="inlineStr">
        <is>
          <t>Special Concession</t>
        </is>
      </c>
    </row>
    <row r="13">
      <c r="A13" s="10" t="inlineStr">
        <is>
          <t>SL</t>
        </is>
      </c>
      <c r="B13" s="11" t="inlineStr">
        <is>
          <t>Sleeper Class</t>
        </is>
      </c>
      <c r="C13" s="11" t="inlineStr">
        <is>
          <t>Non-AC</t>
        </is>
      </c>
      <c r="D13" s="11" t="n"/>
      <c r="E13" s="11" t="inlineStr">
        <is>
          <t>DF</t>
        </is>
      </c>
      <c r="F13" s="11" t="inlineStr">
        <is>
          <t>Defense Quota</t>
        </is>
      </c>
      <c r="G13" s="11" t="inlineStr">
        <is>
          <t>Armed Forces Priority</t>
        </is>
      </c>
    </row>
    <row r="14">
      <c r="A14" s="15" t="inlineStr">
        <is>
          <t>2S</t>
        </is>
      </c>
      <c r="B14" s="16" t="inlineStr">
        <is>
          <t>Second Sitting</t>
        </is>
      </c>
      <c r="C14" s="15" t="inlineStr">
        <is>
          <t>Non-AC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2026-09-29T04:41:32Z</dcterms:created>
  <dcterms:modified xmlns:dcterms="http://purl.org/dc/terms/" xmlns:xsi="http://www.w3.org/2001/XMLSchema-instance" xsi:type="dcterms:W3CDTF">2026-09-29T04:41:33Z</dcterms:modified>
</cp:coreProperties>
</file>